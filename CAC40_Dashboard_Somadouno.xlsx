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 CAC40" sheetId="1" state="visible" r:id="rId3"/>
    <sheet name="Synthèse Secteurs" sheetId="2" state="visible" r:id="rId4"/>
    <sheet name="Guide Rat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<sst xmlns="http://schemas.openxmlformats.org/spreadsheetml/2006/main" count="107" uniqueCount="85">
  <si>
    <t xml:space="preserve">ANALYSE FINANCIÈRE — CAC 40 | Données 2023-2024 | Portfolio Alain Faya Somadouno</t>
  </si>
  <si>
    <t xml:space="preserve">Sources : Rapports annuels 2023, Bloomberg, Factset — Données indicatives à titre pédagogique</t>
  </si>
  <si>
    <t xml:space="preserve">Entreprise</t>
  </si>
  <si>
    <t xml:space="preserve">Secteur</t>
  </si>
  <si>
    <t xml:space="preserve">CA
(Mrd €)</t>
  </si>
  <si>
    <t xml:space="preserve">Résultat Net
(Mrd €)</t>
  </si>
  <si>
    <t xml:space="preserve">Capitalisation
(Mrd €)</t>
  </si>
  <si>
    <t xml:space="preserve">Dettes nettes
(Mrd €)</t>
  </si>
  <si>
    <t xml:space="preserve">EBITDA
(Mrd €)</t>
  </si>
  <si>
    <t xml:space="preserve">Effectif</t>
  </si>
  <si>
    <t xml:space="preserve">Marge nette
(%)</t>
  </si>
  <si>
    <t xml:space="preserve">Marge EBITDA
(%)</t>
  </si>
  <si>
    <t xml:space="preserve">Levier
(Dettes/EBITDA)</t>
  </si>
  <si>
    <t xml:space="preserve">P/E
(ratio)</t>
  </si>
  <si>
    <t xml:space="preserve">ROE
(%)</t>
  </si>
  <si>
    <t xml:space="preserve">EV/EBITDA</t>
  </si>
  <si>
    <t xml:space="preserve">LVMH</t>
  </si>
  <si>
    <t xml:space="preserve">Luxe</t>
  </si>
  <si>
    <t xml:space="preserve">TotalEnergies</t>
  </si>
  <si>
    <t xml:space="preserve">Énergie</t>
  </si>
  <si>
    <t xml:space="preserve">Hermès</t>
  </si>
  <si>
    <t xml:space="preserve">Airbus</t>
  </si>
  <si>
    <t xml:space="preserve">Industrie</t>
  </si>
  <si>
    <t xml:space="preserve">Schneider Elec.</t>
  </si>
  <si>
    <t xml:space="preserve">L'Oréal</t>
  </si>
  <si>
    <t xml:space="preserve">Cosmétique</t>
  </si>
  <si>
    <t xml:space="preserve">BNP Paribas</t>
  </si>
  <si>
    <t xml:space="preserve">Banque</t>
  </si>
  <si>
    <t xml:space="preserve">AXA</t>
  </si>
  <si>
    <t xml:space="preserve">Assurance</t>
  </si>
  <si>
    <t xml:space="preserve">Sanofi</t>
  </si>
  <si>
    <t xml:space="preserve">Pharma</t>
  </si>
  <si>
    <t xml:space="preserve">Kering</t>
  </si>
  <si>
    <t xml:space="preserve">Société Générale</t>
  </si>
  <si>
    <t xml:space="preserve">Renault</t>
  </si>
  <si>
    <t xml:space="preserve">Automobile</t>
  </si>
  <si>
    <t xml:space="preserve">Stellantis</t>
  </si>
  <si>
    <t xml:space="preserve">Capgemini</t>
  </si>
  <si>
    <t xml:space="preserve">Tech / Conseil</t>
  </si>
  <si>
    <t xml:space="preserve">Michelin</t>
  </si>
  <si>
    <t xml:space="preserve">Danone</t>
  </si>
  <si>
    <t xml:space="preserve">Agro-alimentaire</t>
  </si>
  <si>
    <t xml:space="preserve">Vivendi</t>
  </si>
  <si>
    <t xml:space="preserve">Médias</t>
  </si>
  <si>
    <t xml:space="preserve">Engie</t>
  </si>
  <si>
    <t xml:space="preserve">Saint-Gobain</t>
  </si>
  <si>
    <t xml:space="preserve">Orange</t>
  </si>
  <si>
    <t xml:space="preserve">Télécom</t>
  </si>
  <si>
    <t xml:space="preserve">SYNTHÈSE PAR SECTEUR — Moyennes des indicateurs clés</t>
  </si>
  <si>
    <t xml:space="preserve">Nb entreprises</t>
  </si>
  <si>
    <t xml:space="preserve">CA moy. (Mrd€)</t>
  </si>
  <si>
    <t xml:space="preserve">Cap. moy. (Mrd€)</t>
  </si>
  <si>
    <t xml:space="preserve">Marge nette moy.</t>
  </si>
  <si>
    <t xml:space="preserve">Marge EBITDA moy.</t>
  </si>
  <si>
    <t xml:space="preserve">Levier moy.</t>
  </si>
  <si>
    <t xml:space="preserve">EV/EBITDA moy.</t>
  </si>
  <si>
    <t xml:space="preserve">GUIDE DES RATIOS FINANCIERS — Référentiel pour analyse et entretiens</t>
  </si>
  <si>
    <t xml:space="preserve">Ratio</t>
  </si>
  <si>
    <t xml:space="preserve">Formule</t>
  </si>
  <si>
    <t xml:space="preserve">Interprétation</t>
  </si>
  <si>
    <t xml:space="preserve">Benchmark</t>
  </si>
  <si>
    <t xml:space="preserve">Marge nette</t>
  </si>
  <si>
    <t xml:space="preserve">Résultat Net / CA</t>
  </si>
  <si>
    <t xml:space="preserve">Rentabilité après impôts. Mesure la part du CA qui se transforme en profit.</t>
  </si>
  <si>
    <t xml:space="preserve">&gt; 10% = bon · Luxe &gt; 20%</t>
  </si>
  <si>
    <t xml:space="preserve">Marge EBITDA</t>
  </si>
  <si>
    <t xml:space="preserve">EBITDA / CA</t>
  </si>
  <si>
    <t xml:space="preserve">Rentabilité opérationnelle avant amortissements et intérêts.</t>
  </si>
  <si>
    <t xml:space="preserve">&gt; 15% = bon · Tech &gt; 25%</t>
  </si>
  <si>
    <t xml:space="preserve">Levier financier</t>
  </si>
  <si>
    <t xml:space="preserve">Dettes nettes / EBITDA</t>
  </si>
  <si>
    <t xml:space="preserve">Capacité à rembourser la dette. Plus il est faible, plus la société est solide.</t>
  </si>
  <si>
    <t xml:space="preserve">&lt; 2x = faible risque · &gt; 4x = risqué</t>
  </si>
  <si>
    <t xml:space="preserve">P/E (Price Earning)</t>
  </si>
  <si>
    <t xml:space="preserve">Capitalisation / Résultat Net</t>
  </si>
  <si>
    <t xml:space="preserve">Prix payé pour €1 de bénéfice. Indique la valorisation du marché.</t>
  </si>
  <si>
    <t xml:space="preserve">15-20x = normal · &gt; 30x = croissance</t>
  </si>
  <si>
    <t xml:space="preserve">ROE</t>
  </si>
  <si>
    <t xml:space="preserve">Résultat Net / Capitaux propres</t>
  </si>
  <si>
    <t xml:space="preserve">Rendement des fonds propres. Mesure l'efficacité du capital investi.</t>
  </si>
  <si>
    <t xml:space="preserve">&gt; 15% = performant</t>
  </si>
  <si>
    <t xml:space="preserve">(Cap. + Dettes) / EBITDA</t>
  </si>
  <si>
    <t xml:space="preserve">Valorisation totale vs performance opérationnelle. Standard M&amp;A.</t>
  </si>
  <si>
    <t xml:space="preserve">8-12x = normal · &gt; 15x = cher</t>
  </si>
  <si>
    <t xml:space="preserve">⚡ Ce fichier a été conçu par Alain Faya Somadouno dans le cadre de son portfolio d'alternance — Master Finance, Y Schools SCBS Troyes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</si>
</sst>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8"/>
      <color rgb="FF2F549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7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1" min="10" style="0" width="12"/>
    <col collapsed="false" customWidth="true" hidden="false" outlineLevel="0" max="13" min="12" style="0" width="8"/>
    <col collapsed="false" customWidth="true" hidden="false" outlineLevel="0" max="14" min="14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18" hidden="false" customHeight="true" outlineLevel="0" collapsed="false">
      <c r="A4" s="4" t="s">
        <v>16</v>
      </c>
      <c r="B4" s="5" t="s">
        <v>17</v>
      </c>
      <c r="C4" s="6" t="n">
        <v>86.2</v>
      </c>
      <c r="D4" s="6" t="n">
        <v>8.9</v>
      </c>
      <c r="E4" s="6" t="n">
        <v>320</v>
      </c>
      <c r="F4" s="6" t="n">
        <v>18.5</v>
      </c>
      <c r="G4" s="6" t="n">
        <v>22.8</v>
      </c>
      <c r="H4" s="6" t="n">
        <v>213000</v>
      </c>
      <c r="I4" s="7" t="n">
        <f aca="false">IF(C4&lt;&gt;0,D4/C4,0)</f>
        <v>0.103248259860789</v>
      </c>
      <c r="J4" s="7" t="n">
        <f aca="false">IF(C4&lt;&gt;0,G4/C4,0)</f>
        <v>0.264501160092807</v>
      </c>
      <c r="K4" s="8" t="n">
        <f aca="false">IF(G4&lt;&gt;0,F4/G4,0)</f>
        <v>0.81140350877193</v>
      </c>
      <c r="L4" s="8" t="n">
        <f aca="false">IF(D4&lt;&gt;0,E4/D4,0)</f>
        <v>35.9550561797753</v>
      </c>
      <c r="M4" s="7" t="n">
        <f aca="false">IF(E4&lt;&gt;0,D4/(E4*0.35),0)</f>
        <v>0.0794642857142857</v>
      </c>
      <c r="N4" s="8" t="n">
        <f aca="false">IF(G4&lt;&gt;0,(E4+F4)/G4,0)</f>
        <v>14.8464912280702</v>
      </c>
    </row>
    <row r="5" customFormat="false" ht="18" hidden="false" customHeight="true" outlineLevel="0" collapsed="false">
      <c r="A5" s="9" t="s">
        <v>18</v>
      </c>
      <c r="B5" s="10" t="s">
        <v>19</v>
      </c>
      <c r="C5" s="11" t="n">
        <v>218.9</v>
      </c>
      <c r="D5" s="11" t="n">
        <v>13.7</v>
      </c>
      <c r="E5" s="11" t="n">
        <v>145</v>
      </c>
      <c r="F5" s="11" t="n">
        <v>35.2</v>
      </c>
      <c r="G5" s="11" t="n">
        <v>38.4</v>
      </c>
      <c r="H5" s="11" t="n">
        <v>101000</v>
      </c>
      <c r="I5" s="12" t="n">
        <f aca="false">IF(C5&lt;&gt;0,D5/C5,0)</f>
        <v>0.0625856555504797</v>
      </c>
      <c r="J5" s="12" t="n">
        <f aca="false">IF(C5&lt;&gt;0,G5/C5,0)</f>
        <v>0.175422567382366</v>
      </c>
      <c r="K5" s="13" t="n">
        <f aca="false">IF(G5&lt;&gt;0,F5/G5,0)</f>
        <v>0.916666666666667</v>
      </c>
      <c r="L5" s="13" t="n">
        <f aca="false">IF(D5&lt;&gt;0,E5/D5,0)</f>
        <v>10.5839416058394</v>
      </c>
      <c r="M5" s="12" t="n">
        <f aca="false">IF(E5&lt;&gt;0,D5/(E5*0.35),0)</f>
        <v>0.269950738916256</v>
      </c>
      <c r="N5" s="13" t="n">
        <f aca="false">IF(G5&lt;&gt;0,(E5+F5)/G5,0)</f>
        <v>4.69270833333333</v>
      </c>
    </row>
    <row r="6" customFormat="false" ht="18" hidden="false" customHeight="true" outlineLevel="0" collapsed="false">
      <c r="A6" s="4" t="s">
        <v>20</v>
      </c>
      <c r="B6" s="5" t="s">
        <v>17</v>
      </c>
      <c r="C6" s="6" t="n">
        <v>13.4</v>
      </c>
      <c r="D6" s="6" t="n">
        <v>4.3</v>
      </c>
      <c r="E6" s="6" t="n">
        <v>210</v>
      </c>
      <c r="F6" s="6" t="n">
        <v>0.9</v>
      </c>
      <c r="G6" s="6" t="n">
        <v>5.6</v>
      </c>
      <c r="H6" s="6" t="n">
        <v>23200</v>
      </c>
      <c r="I6" s="7" t="n">
        <f aca="false">IF(C6&lt;&gt;0,D6/C6,0)</f>
        <v>0.32089552238806</v>
      </c>
      <c r="J6" s="7" t="n">
        <f aca="false">IF(C6&lt;&gt;0,G6/C6,0)</f>
        <v>0.417910447761194</v>
      </c>
      <c r="K6" s="8" t="n">
        <f aca="false">IF(G6&lt;&gt;0,F6/G6,0)</f>
        <v>0.160714285714286</v>
      </c>
      <c r="L6" s="8" t="n">
        <f aca="false">IF(D6&lt;&gt;0,E6/D6,0)</f>
        <v>48.8372093023256</v>
      </c>
      <c r="M6" s="7" t="n">
        <f aca="false">IF(E6&lt;&gt;0,D6/(E6*0.35),0)</f>
        <v>0.0585034013605442</v>
      </c>
      <c r="N6" s="8" t="n">
        <f aca="false">IF(G6&lt;&gt;0,(E6+F6)/G6,0)</f>
        <v>37.6607142857143</v>
      </c>
    </row>
    <row r="7" customFormat="false" ht="18" hidden="false" customHeight="true" outlineLevel="0" collapsed="false">
      <c r="A7" s="9" t="s">
        <v>21</v>
      </c>
      <c r="B7" s="10" t="s">
        <v>22</v>
      </c>
      <c r="C7" s="11" t="n">
        <v>65.4</v>
      </c>
      <c r="D7" s="11" t="n">
        <v>3.8</v>
      </c>
      <c r="E7" s="11" t="n">
        <v>95</v>
      </c>
      <c r="F7" s="11" t="n">
        <v>10.2</v>
      </c>
      <c r="G7" s="11" t="n">
        <v>11.2</v>
      </c>
      <c r="H7" s="11" t="n">
        <v>134000</v>
      </c>
      <c r="I7" s="12" t="n">
        <f aca="false">IF(C7&lt;&gt;0,D7/C7,0)</f>
        <v>0.0581039755351682</v>
      </c>
      <c r="J7" s="12" t="n">
        <f aca="false">IF(C7&lt;&gt;0,G7/C7,0)</f>
        <v>0.171253822629969</v>
      </c>
      <c r="K7" s="13" t="n">
        <f aca="false">IF(G7&lt;&gt;0,F7/G7,0)</f>
        <v>0.910714285714286</v>
      </c>
      <c r="L7" s="13" t="n">
        <f aca="false">IF(D7&lt;&gt;0,E7/D7,0)</f>
        <v>25</v>
      </c>
      <c r="M7" s="12" t="n">
        <f aca="false">IF(E7&lt;&gt;0,D7/(E7*0.35),0)</f>
        <v>0.114285714285714</v>
      </c>
      <c r="N7" s="13" t="n">
        <f aca="false">IF(G7&lt;&gt;0,(E7+F7)/G7,0)</f>
        <v>9.39285714285714</v>
      </c>
    </row>
    <row r="8" customFormat="false" ht="18" hidden="false" customHeight="true" outlineLevel="0" collapsed="false">
      <c r="A8" s="4" t="s">
        <v>23</v>
      </c>
      <c r="B8" s="5" t="s">
        <v>22</v>
      </c>
      <c r="C8" s="6" t="n">
        <v>35.9</v>
      </c>
      <c r="D8" s="6" t="n">
        <v>3.5</v>
      </c>
      <c r="E8" s="6" t="n">
        <v>105</v>
      </c>
      <c r="F8" s="6" t="n">
        <v>8.4</v>
      </c>
      <c r="G8" s="6" t="n">
        <v>10.1</v>
      </c>
      <c r="H8" s="6" t="n">
        <v>153000</v>
      </c>
      <c r="I8" s="7" t="n">
        <f aca="false">IF(C8&lt;&gt;0,D8/C8,0)</f>
        <v>0.0974930362116992</v>
      </c>
      <c r="J8" s="7" t="n">
        <f aca="false">IF(C8&lt;&gt;0,G8/C8,0)</f>
        <v>0.28133704735376</v>
      </c>
      <c r="K8" s="8" t="n">
        <f aca="false">IF(G8&lt;&gt;0,F8/G8,0)</f>
        <v>0.831683168316832</v>
      </c>
      <c r="L8" s="8" t="n">
        <f aca="false">IF(D8&lt;&gt;0,E8/D8,0)</f>
        <v>30</v>
      </c>
      <c r="M8" s="7" t="n">
        <f aca="false">IF(E8&lt;&gt;0,D8/(E8*0.35),0)</f>
        <v>0.0952380952380952</v>
      </c>
      <c r="N8" s="8" t="n">
        <f aca="false">IF(G8&lt;&gt;0,(E8+F8)/G8,0)</f>
        <v>11.2277227722772</v>
      </c>
    </row>
    <row r="9" customFormat="false" ht="18" hidden="false" customHeight="true" outlineLevel="0" collapsed="false">
      <c r="A9" s="9" t="s">
        <v>24</v>
      </c>
      <c r="B9" s="10" t="s">
        <v>25</v>
      </c>
      <c r="C9" s="11" t="n">
        <v>41.2</v>
      </c>
      <c r="D9" s="11" t="n">
        <v>6.2</v>
      </c>
      <c r="E9" s="11" t="n">
        <v>195</v>
      </c>
      <c r="F9" s="11" t="n">
        <v>5.3</v>
      </c>
      <c r="G9" s="11" t="n">
        <v>10.8</v>
      </c>
      <c r="H9" s="11" t="n">
        <v>87400</v>
      </c>
      <c r="I9" s="12" t="n">
        <f aca="false">IF(C9&lt;&gt;0,D9/C9,0)</f>
        <v>0.150485436893204</v>
      </c>
      <c r="J9" s="12" t="n">
        <f aca="false">IF(C9&lt;&gt;0,G9/C9,0)</f>
        <v>0.262135922330097</v>
      </c>
      <c r="K9" s="13" t="n">
        <f aca="false">IF(G9&lt;&gt;0,F9/G9,0)</f>
        <v>0.490740740740741</v>
      </c>
      <c r="L9" s="13" t="n">
        <f aca="false">IF(D9&lt;&gt;0,E9/D9,0)</f>
        <v>31.4516129032258</v>
      </c>
      <c r="M9" s="12" t="n">
        <f aca="false">IF(E9&lt;&gt;0,D9/(E9*0.35),0)</f>
        <v>0.0908424908424908</v>
      </c>
      <c r="N9" s="13" t="n">
        <f aca="false">IF(G9&lt;&gt;0,(E9+F9)/G9,0)</f>
        <v>18.5462962962963</v>
      </c>
    </row>
    <row r="10" customFormat="false" ht="18" hidden="false" customHeight="true" outlineLevel="0" collapsed="false">
      <c r="A10" s="4" t="s">
        <v>26</v>
      </c>
      <c r="B10" s="5" t="s">
        <v>27</v>
      </c>
      <c r="C10" s="6" t="n">
        <v>46.1</v>
      </c>
      <c r="D10" s="6" t="n">
        <v>9</v>
      </c>
      <c r="E10" s="6" t="n">
        <v>68</v>
      </c>
      <c r="F10" s="6" t="n">
        <v>42</v>
      </c>
      <c r="G10" s="6" t="n">
        <v>14.5</v>
      </c>
      <c r="H10" s="6" t="n">
        <v>183000</v>
      </c>
      <c r="I10" s="7" t="n">
        <f aca="false">IF(C10&lt;&gt;0,D10/C10,0)</f>
        <v>0.195227765726681</v>
      </c>
      <c r="J10" s="7" t="n">
        <f aca="false">IF(C10&lt;&gt;0,G10/C10,0)</f>
        <v>0.314533622559653</v>
      </c>
      <c r="K10" s="8" t="n">
        <f aca="false">IF(G10&lt;&gt;0,F10/G10,0)</f>
        <v>2.89655172413793</v>
      </c>
      <c r="L10" s="8" t="n">
        <f aca="false">IF(D10&lt;&gt;0,E10/D10,0)</f>
        <v>7.55555555555556</v>
      </c>
      <c r="M10" s="7" t="n">
        <f aca="false">IF(E10&lt;&gt;0,D10/(E10*0.35),0)</f>
        <v>0.378151260504202</v>
      </c>
      <c r="N10" s="8" t="n">
        <f aca="false">IF(G10&lt;&gt;0,(E10+F10)/G10,0)</f>
        <v>7.58620689655172</v>
      </c>
    </row>
    <row r="11" customFormat="false" ht="18" hidden="false" customHeight="true" outlineLevel="0" collapsed="false">
      <c r="A11" s="9" t="s">
        <v>28</v>
      </c>
      <c r="B11" s="10" t="s">
        <v>29</v>
      </c>
      <c r="C11" s="11" t="n">
        <v>102</v>
      </c>
      <c r="D11" s="11" t="n">
        <v>7.2</v>
      </c>
      <c r="E11" s="11" t="n">
        <v>65</v>
      </c>
      <c r="F11" s="11" t="n">
        <v>18</v>
      </c>
      <c r="G11" s="11" t="n">
        <v>12.4</v>
      </c>
      <c r="H11" s="11" t="n">
        <v>147000</v>
      </c>
      <c r="I11" s="12" t="n">
        <f aca="false">IF(C11&lt;&gt;0,D11/C11,0)</f>
        <v>0.0705882352941177</v>
      </c>
      <c r="J11" s="12" t="n">
        <f aca="false">IF(C11&lt;&gt;0,G11/C11,0)</f>
        <v>0.12156862745098</v>
      </c>
      <c r="K11" s="13" t="n">
        <f aca="false">IF(G11&lt;&gt;0,F11/G11,0)</f>
        <v>1.45161290322581</v>
      </c>
      <c r="L11" s="13" t="n">
        <f aca="false">IF(D11&lt;&gt;0,E11/D11,0)</f>
        <v>9.02777777777778</v>
      </c>
      <c r="M11" s="12" t="n">
        <f aca="false">IF(E11&lt;&gt;0,D11/(E11*0.35),0)</f>
        <v>0.316483516483516</v>
      </c>
      <c r="N11" s="13" t="n">
        <f aca="false">IF(G11&lt;&gt;0,(E11+F11)/G11,0)</f>
        <v>6.69354838709677</v>
      </c>
    </row>
    <row r="12" customFormat="false" ht="18" hidden="false" customHeight="true" outlineLevel="0" collapsed="false">
      <c r="A12" s="4" t="s">
        <v>30</v>
      </c>
      <c r="B12" s="5" t="s">
        <v>31</v>
      </c>
      <c r="C12" s="6" t="n">
        <v>41.9</v>
      </c>
      <c r="D12" s="6" t="n">
        <v>5.4</v>
      </c>
      <c r="E12" s="6" t="n">
        <v>108</v>
      </c>
      <c r="F12" s="6" t="n">
        <v>9.8</v>
      </c>
      <c r="G12" s="6" t="n">
        <v>13.2</v>
      </c>
      <c r="H12" s="6" t="n">
        <v>91000</v>
      </c>
      <c r="I12" s="7" t="n">
        <f aca="false">IF(C12&lt;&gt;0,D12/C12,0)</f>
        <v>0.128878281622912</v>
      </c>
      <c r="J12" s="7" t="n">
        <f aca="false">IF(C12&lt;&gt;0,G12/C12,0)</f>
        <v>0.315035799522673</v>
      </c>
      <c r="K12" s="8" t="n">
        <f aca="false">IF(G12&lt;&gt;0,F12/G12,0)</f>
        <v>0.742424242424243</v>
      </c>
      <c r="L12" s="8" t="n">
        <f aca="false">IF(D12&lt;&gt;0,E12/D12,0)</f>
        <v>20</v>
      </c>
      <c r="M12" s="7" t="n">
        <f aca="false">IF(E12&lt;&gt;0,D12/(E12*0.35),0)</f>
        <v>0.142857142857143</v>
      </c>
      <c r="N12" s="8" t="n">
        <f aca="false">IF(G12&lt;&gt;0,(E12+F12)/G12,0)</f>
        <v>8.92424242424242</v>
      </c>
    </row>
    <row r="13" customFormat="false" ht="18" hidden="false" customHeight="true" outlineLevel="0" collapsed="false">
      <c r="A13" s="9" t="s">
        <v>32</v>
      </c>
      <c r="B13" s="10" t="s">
        <v>17</v>
      </c>
      <c r="C13" s="11" t="n">
        <v>17.6</v>
      </c>
      <c r="D13" s="11" t="n">
        <v>0.9</v>
      </c>
      <c r="E13" s="11" t="n">
        <v>36</v>
      </c>
      <c r="F13" s="11" t="n">
        <v>5.8</v>
      </c>
      <c r="G13" s="11" t="n">
        <v>4.2</v>
      </c>
      <c r="H13" s="11" t="n">
        <v>47000</v>
      </c>
      <c r="I13" s="12" t="n">
        <f aca="false">IF(C13&lt;&gt;0,D13/C13,0)</f>
        <v>0.0511363636363636</v>
      </c>
      <c r="J13" s="12" t="n">
        <f aca="false">IF(C13&lt;&gt;0,G13/C13,0)</f>
        <v>0.238636363636364</v>
      </c>
      <c r="K13" s="13" t="n">
        <f aca="false">IF(G13&lt;&gt;0,F13/G13,0)</f>
        <v>1.38095238095238</v>
      </c>
      <c r="L13" s="13" t="n">
        <f aca="false">IF(D13&lt;&gt;0,E13/D13,0)</f>
        <v>40</v>
      </c>
      <c r="M13" s="12" t="n">
        <f aca="false">IF(E13&lt;&gt;0,D13/(E13*0.35),0)</f>
        <v>0.0714285714285714</v>
      </c>
      <c r="N13" s="13" t="n">
        <f aca="false">IF(G13&lt;&gt;0,(E13+F13)/G13,0)</f>
        <v>9.95238095238095</v>
      </c>
    </row>
    <row r="14" customFormat="false" ht="18" hidden="false" customHeight="true" outlineLevel="0" collapsed="false">
      <c r="A14" s="4" t="s">
        <v>33</v>
      </c>
      <c r="B14" s="5" t="s">
        <v>27</v>
      </c>
      <c r="C14" s="6" t="n">
        <v>25.6</v>
      </c>
      <c r="D14" s="6" t="n">
        <v>2.6</v>
      </c>
      <c r="E14" s="6" t="n">
        <v>18</v>
      </c>
      <c r="F14" s="6" t="n">
        <v>28</v>
      </c>
      <c r="G14" s="6" t="n">
        <v>5.4</v>
      </c>
      <c r="H14" s="6" t="n">
        <v>117000</v>
      </c>
      <c r="I14" s="7" t="n">
        <f aca="false">IF(C14&lt;&gt;0,D14/C14,0)</f>
        <v>0.1015625</v>
      </c>
      <c r="J14" s="7" t="n">
        <f aca="false">IF(C14&lt;&gt;0,G14/C14,0)</f>
        <v>0.2109375</v>
      </c>
      <c r="K14" s="8" t="n">
        <f aca="false">IF(G14&lt;&gt;0,F14/G14,0)</f>
        <v>5.18518518518519</v>
      </c>
      <c r="L14" s="8" t="n">
        <f aca="false">IF(D14&lt;&gt;0,E14/D14,0)</f>
        <v>6.92307692307692</v>
      </c>
      <c r="M14" s="7" t="n">
        <f aca="false">IF(E14&lt;&gt;0,D14/(E14*0.35),0)</f>
        <v>0.412698412698413</v>
      </c>
      <c r="N14" s="8" t="n">
        <f aca="false">IF(G14&lt;&gt;0,(E14+F14)/G14,0)</f>
        <v>8.51851851851852</v>
      </c>
    </row>
    <row r="15" customFormat="false" ht="18" hidden="false" customHeight="true" outlineLevel="0" collapsed="false">
      <c r="A15" s="9" t="s">
        <v>34</v>
      </c>
      <c r="B15" s="10" t="s">
        <v>35</v>
      </c>
      <c r="C15" s="11" t="n">
        <v>52.4</v>
      </c>
      <c r="D15" s="11" t="n">
        <v>2.3</v>
      </c>
      <c r="E15" s="11" t="n">
        <v>12</v>
      </c>
      <c r="F15" s="11" t="n">
        <v>15.6</v>
      </c>
      <c r="G15" s="11" t="n">
        <v>4.8</v>
      </c>
      <c r="H15" s="11" t="n">
        <v>111000</v>
      </c>
      <c r="I15" s="12" t="n">
        <f aca="false">IF(C15&lt;&gt;0,D15/C15,0)</f>
        <v>0.0438931297709924</v>
      </c>
      <c r="J15" s="12" t="n">
        <f aca="false">IF(C15&lt;&gt;0,G15/C15,0)</f>
        <v>0.0916030534351145</v>
      </c>
      <c r="K15" s="13" t="n">
        <f aca="false">IF(G15&lt;&gt;0,F15/G15,0)</f>
        <v>3.25</v>
      </c>
      <c r="L15" s="13" t="n">
        <f aca="false">IF(D15&lt;&gt;0,E15/D15,0)</f>
        <v>5.21739130434783</v>
      </c>
      <c r="M15" s="12" t="n">
        <f aca="false">IF(E15&lt;&gt;0,D15/(E15*0.35),0)</f>
        <v>0.547619047619048</v>
      </c>
      <c r="N15" s="13" t="n">
        <f aca="false">IF(G15&lt;&gt;0,(E15+F15)/G15,0)</f>
        <v>5.75</v>
      </c>
    </row>
    <row r="16" customFormat="false" ht="18" hidden="false" customHeight="true" outlineLevel="0" collapsed="false">
      <c r="A16" s="4" t="s">
        <v>36</v>
      </c>
      <c r="B16" s="5" t="s">
        <v>35</v>
      </c>
      <c r="C16" s="6" t="n">
        <v>189.5</v>
      </c>
      <c r="D16" s="6" t="n">
        <v>5.6</v>
      </c>
      <c r="E16" s="6" t="n">
        <v>38</v>
      </c>
      <c r="F16" s="6" t="n">
        <v>22</v>
      </c>
      <c r="G16" s="6" t="n">
        <v>16.2</v>
      </c>
      <c r="H16" s="6" t="n">
        <v>300000</v>
      </c>
      <c r="I16" s="7" t="n">
        <f aca="false">IF(C16&lt;&gt;0,D16/C16,0)</f>
        <v>0.0295514511873351</v>
      </c>
      <c r="J16" s="7" t="n">
        <f aca="false">IF(C16&lt;&gt;0,G16/C16,0)</f>
        <v>0.0854881266490765</v>
      </c>
      <c r="K16" s="8" t="n">
        <f aca="false">IF(G16&lt;&gt;0,F16/G16,0)</f>
        <v>1.35802469135802</v>
      </c>
      <c r="L16" s="8" t="n">
        <f aca="false">IF(D16&lt;&gt;0,E16/D16,0)</f>
        <v>6.78571428571429</v>
      </c>
      <c r="M16" s="7" t="n">
        <f aca="false">IF(E16&lt;&gt;0,D16/(E16*0.35),0)</f>
        <v>0.421052631578947</v>
      </c>
      <c r="N16" s="8" t="n">
        <f aca="false">IF(G16&lt;&gt;0,(E16+F16)/G16,0)</f>
        <v>3.7037037037037</v>
      </c>
    </row>
    <row r="17" customFormat="false" ht="18" hidden="false" customHeight="true" outlineLevel="0" collapsed="false">
      <c r="A17" s="9" t="s">
        <v>37</v>
      </c>
      <c r="B17" s="10" t="s">
        <v>38</v>
      </c>
      <c r="C17" s="11" t="n">
        <v>22.5</v>
      </c>
      <c r="D17" s="11" t="n">
        <v>1.6</v>
      </c>
      <c r="E17" s="11" t="n">
        <v>28</v>
      </c>
      <c r="F17" s="11" t="n">
        <v>2.4</v>
      </c>
      <c r="G17" s="11" t="n">
        <v>3.8</v>
      </c>
      <c r="H17" s="11" t="n">
        <v>350000</v>
      </c>
      <c r="I17" s="12" t="n">
        <f aca="false">IF(C17&lt;&gt;0,D17/C17,0)</f>
        <v>0.0711111111111111</v>
      </c>
      <c r="J17" s="12" t="n">
        <f aca="false">IF(C17&lt;&gt;0,G17/C17,0)</f>
        <v>0.168888888888889</v>
      </c>
      <c r="K17" s="13" t="n">
        <f aca="false">IF(G17&lt;&gt;0,F17/G17,0)</f>
        <v>0.631578947368421</v>
      </c>
      <c r="L17" s="13" t="n">
        <f aca="false">IF(D17&lt;&gt;0,E17/D17,0)</f>
        <v>17.5</v>
      </c>
      <c r="M17" s="12" t="n">
        <f aca="false">IF(E17&lt;&gt;0,D17/(E17*0.35),0)</f>
        <v>0.163265306122449</v>
      </c>
      <c r="N17" s="13" t="n">
        <f aca="false">IF(G17&lt;&gt;0,(E17+F17)/G17,0)</f>
        <v>8</v>
      </c>
    </row>
    <row r="18" customFormat="false" ht="18" hidden="false" customHeight="true" outlineLevel="0" collapsed="false">
      <c r="A18" s="4" t="s">
        <v>39</v>
      </c>
      <c r="B18" s="5" t="s">
        <v>22</v>
      </c>
      <c r="C18" s="6" t="n">
        <v>28.3</v>
      </c>
      <c r="D18" s="6" t="n">
        <v>1.7</v>
      </c>
      <c r="E18" s="6" t="n">
        <v>21</v>
      </c>
      <c r="F18" s="6" t="n">
        <v>7.6</v>
      </c>
      <c r="G18" s="6" t="n">
        <v>4.6</v>
      </c>
      <c r="H18" s="6" t="n">
        <v>132000</v>
      </c>
      <c r="I18" s="7" t="n">
        <f aca="false">IF(C18&lt;&gt;0,D18/C18,0)</f>
        <v>0.0600706713780919</v>
      </c>
      <c r="J18" s="7" t="n">
        <f aca="false">IF(C18&lt;&gt;0,G18/C18,0)</f>
        <v>0.162544169611307</v>
      </c>
      <c r="K18" s="8" t="n">
        <f aca="false">IF(G18&lt;&gt;0,F18/G18,0)</f>
        <v>1.65217391304348</v>
      </c>
      <c r="L18" s="8" t="n">
        <f aca="false">IF(D18&lt;&gt;0,E18/D18,0)</f>
        <v>12.3529411764706</v>
      </c>
      <c r="M18" s="7" t="n">
        <f aca="false">IF(E18&lt;&gt;0,D18/(E18*0.35),0)</f>
        <v>0.231292517006803</v>
      </c>
      <c r="N18" s="8" t="n">
        <f aca="false">IF(G18&lt;&gt;0,(E18+F18)/G18,0)</f>
        <v>6.21739130434783</v>
      </c>
    </row>
    <row r="19" customFormat="false" ht="18" hidden="false" customHeight="true" outlineLevel="0" collapsed="false">
      <c r="A19" s="9" t="s">
        <v>40</v>
      </c>
      <c r="B19" s="10" t="s">
        <v>41</v>
      </c>
      <c r="C19" s="11" t="n">
        <v>27.6</v>
      </c>
      <c r="D19" s="11" t="n">
        <v>1.5</v>
      </c>
      <c r="E19" s="11" t="n">
        <v>38</v>
      </c>
      <c r="F19" s="11" t="n">
        <v>8.4</v>
      </c>
      <c r="G19" s="11" t="n">
        <v>4.9</v>
      </c>
      <c r="H19" s="11" t="n">
        <v>97400</v>
      </c>
      <c r="I19" s="12" t="n">
        <f aca="false">IF(C19&lt;&gt;0,D19/C19,0)</f>
        <v>0.0543478260869565</v>
      </c>
      <c r="J19" s="12" t="n">
        <f aca="false">IF(C19&lt;&gt;0,G19/C19,0)</f>
        <v>0.177536231884058</v>
      </c>
      <c r="K19" s="13" t="n">
        <f aca="false">IF(G19&lt;&gt;0,F19/G19,0)</f>
        <v>1.71428571428571</v>
      </c>
      <c r="L19" s="13" t="n">
        <f aca="false">IF(D19&lt;&gt;0,E19/D19,0)</f>
        <v>25.3333333333333</v>
      </c>
      <c r="M19" s="12" t="n">
        <f aca="false">IF(E19&lt;&gt;0,D19/(E19*0.35),0)</f>
        <v>0.112781954887218</v>
      </c>
      <c r="N19" s="13" t="n">
        <f aca="false">IF(G19&lt;&gt;0,(E19+F19)/G19,0)</f>
        <v>9.46938775510204</v>
      </c>
    </row>
    <row r="20" customFormat="false" ht="18" hidden="false" customHeight="true" outlineLevel="0" collapsed="false">
      <c r="A20" s="4" t="s">
        <v>42</v>
      </c>
      <c r="B20" s="5" t="s">
        <v>43</v>
      </c>
      <c r="C20" s="6" t="n">
        <v>29.1</v>
      </c>
      <c r="D20" s="6" t="n">
        <v>0.8</v>
      </c>
      <c r="E20" s="6" t="n">
        <v>8</v>
      </c>
      <c r="F20" s="6" t="n">
        <v>6.2</v>
      </c>
      <c r="G20" s="6" t="n">
        <v>3.2</v>
      </c>
      <c r="H20" s="6" t="n">
        <v>35000</v>
      </c>
      <c r="I20" s="7" t="n">
        <f aca="false">IF(C20&lt;&gt;0,D20/C20,0)</f>
        <v>0.0274914089347079</v>
      </c>
      <c r="J20" s="7" t="n">
        <f aca="false">IF(C20&lt;&gt;0,G20/C20,0)</f>
        <v>0.109965635738832</v>
      </c>
      <c r="K20" s="8" t="n">
        <f aca="false">IF(G20&lt;&gt;0,F20/G20,0)</f>
        <v>1.9375</v>
      </c>
      <c r="L20" s="8" t="n">
        <f aca="false">IF(D20&lt;&gt;0,E20/D20,0)</f>
        <v>10</v>
      </c>
      <c r="M20" s="7" t="n">
        <f aca="false">IF(E20&lt;&gt;0,D20/(E20*0.35),0)</f>
        <v>0.285714285714286</v>
      </c>
      <c r="N20" s="8" t="n">
        <f aca="false">IF(G20&lt;&gt;0,(E20+F20)/G20,0)</f>
        <v>4.4375</v>
      </c>
    </row>
    <row r="21" customFormat="false" ht="18" hidden="false" customHeight="true" outlineLevel="0" collapsed="false">
      <c r="A21" s="9" t="s">
        <v>44</v>
      </c>
      <c r="B21" s="10" t="s">
        <v>19</v>
      </c>
      <c r="C21" s="11" t="n">
        <v>82.6</v>
      </c>
      <c r="D21" s="11" t="n">
        <v>4.2</v>
      </c>
      <c r="E21" s="11" t="n">
        <v>42</v>
      </c>
      <c r="F21" s="11" t="n">
        <v>24.8</v>
      </c>
      <c r="G21" s="11" t="n">
        <v>14.6</v>
      </c>
      <c r="H21" s="11" t="n">
        <v>97000</v>
      </c>
      <c r="I21" s="12" t="n">
        <f aca="false">IF(C21&lt;&gt;0,D21/C21,0)</f>
        <v>0.0508474576271187</v>
      </c>
      <c r="J21" s="12" t="n">
        <f aca="false">IF(C21&lt;&gt;0,G21/C21,0)</f>
        <v>0.176755447941889</v>
      </c>
      <c r="K21" s="13" t="n">
        <f aca="false">IF(G21&lt;&gt;0,F21/G21,0)</f>
        <v>1.6986301369863</v>
      </c>
      <c r="L21" s="13" t="n">
        <f aca="false">IF(D21&lt;&gt;0,E21/D21,0)</f>
        <v>10</v>
      </c>
      <c r="M21" s="12" t="n">
        <f aca="false">IF(E21&lt;&gt;0,D21/(E21*0.35),0)</f>
        <v>0.285714285714286</v>
      </c>
      <c r="N21" s="13" t="n">
        <f aca="false">IF(G21&lt;&gt;0,(E21+F21)/G21,0)</f>
        <v>4.57534246575342</v>
      </c>
    </row>
    <row r="22" customFormat="false" ht="18" hidden="false" customHeight="true" outlineLevel="0" collapsed="false">
      <c r="A22" s="4" t="s">
        <v>45</v>
      </c>
      <c r="B22" s="5" t="s">
        <v>22</v>
      </c>
      <c r="C22" s="6" t="n">
        <v>47.9</v>
      </c>
      <c r="D22" s="6" t="n">
        <v>3</v>
      </c>
      <c r="E22" s="6" t="n">
        <v>28</v>
      </c>
      <c r="F22" s="6" t="n">
        <v>10.8</v>
      </c>
      <c r="G22" s="6" t="n">
        <v>8.2</v>
      </c>
      <c r="H22" s="6" t="n">
        <v>159000</v>
      </c>
      <c r="I22" s="7" t="n">
        <f aca="false">IF(C22&lt;&gt;0,D22/C22,0)</f>
        <v>0.0626304801670146</v>
      </c>
      <c r="J22" s="7" t="n">
        <f aca="false">IF(C22&lt;&gt;0,G22/C22,0)</f>
        <v>0.171189979123173</v>
      </c>
      <c r="K22" s="8" t="n">
        <f aca="false">IF(G22&lt;&gt;0,F22/G22,0)</f>
        <v>1.31707317073171</v>
      </c>
      <c r="L22" s="8" t="n">
        <f aca="false">IF(D22&lt;&gt;0,E22/D22,0)</f>
        <v>9.33333333333333</v>
      </c>
      <c r="M22" s="7" t="n">
        <f aca="false">IF(E22&lt;&gt;0,D22/(E22*0.35),0)</f>
        <v>0.306122448979592</v>
      </c>
      <c r="N22" s="8" t="n">
        <f aca="false">IF(G22&lt;&gt;0,(E22+F22)/G22,0)</f>
        <v>4.73170731707317</v>
      </c>
    </row>
    <row r="23" customFormat="false" ht="18" hidden="false" customHeight="true" outlineLevel="0" collapsed="false">
      <c r="A23" s="9" t="s">
        <v>46</v>
      </c>
      <c r="B23" s="10" t="s">
        <v>47</v>
      </c>
      <c r="C23" s="11" t="n">
        <v>44.1</v>
      </c>
      <c r="D23" s="11" t="n">
        <v>1.8</v>
      </c>
      <c r="E23" s="11" t="n">
        <v>28</v>
      </c>
      <c r="F23" s="11" t="n">
        <v>26.4</v>
      </c>
      <c r="G23" s="11" t="n">
        <v>9.8</v>
      </c>
      <c r="H23" s="11" t="n">
        <v>135000</v>
      </c>
      <c r="I23" s="12" t="n">
        <f aca="false">IF(C23&lt;&gt;0,D23/C23,0)</f>
        <v>0.0408163265306122</v>
      </c>
      <c r="J23" s="12" t="n">
        <f aca="false">IF(C23&lt;&gt;0,G23/C23,0)</f>
        <v>0.222222222222222</v>
      </c>
      <c r="K23" s="13" t="n">
        <f aca="false">IF(G23&lt;&gt;0,F23/G23,0)</f>
        <v>2.69387755102041</v>
      </c>
      <c r="L23" s="13" t="n">
        <f aca="false">IF(D23&lt;&gt;0,E23/D23,0)</f>
        <v>15.5555555555556</v>
      </c>
      <c r="M23" s="12" t="n">
        <f aca="false">IF(E23&lt;&gt;0,D23/(E23*0.35),0)</f>
        <v>0.183673469387755</v>
      </c>
      <c r="N23" s="13" t="n">
        <f aca="false">IF(G23&lt;&gt;0,(E23+F23)/G23,0)</f>
        <v>5.55102040816326</v>
      </c>
    </row>
  </sheetData>
  <mergeCells count="2">
    <mergeCell ref="A1:N1"/>
    <mergeCell ref="A2:N2"/>
  </mergeCells>
  <conditionalFormatting sqref="I4:I23">
    <cfRule type="colorScale" priority="2">
      <colorScale>
        <cfvo type="min" val="0"/>
        <cfvo type="percentile" val="50"/>
        <cfvo type="max" val="0"/>
        <color rgb="FFFCE4EC"/>
        <color rgb="FFFFFFFF"/>
        <color rgb="FFE2EFDA"/>
      </colorScale>
    </cfRule>
  </conditionalFormatting>
  <conditionalFormatting sqref="J4:J23">
    <cfRule type="colorScale" priority="3">
      <colorScale>
        <cfvo type="min" val="0"/>
        <cfvo type="percentile" val="50"/>
        <cfvo type="max" val="0"/>
        <color rgb="FFFCE4EC"/>
        <color rgb="FFFFFFFF"/>
        <color rgb="FFE2EFD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25.5" hidden="false" customHeight="true" outlineLevel="0" collapsed="false">
      <c r="A1" s="14" t="s">
        <v>48</v>
      </c>
      <c r="B1" s="14"/>
      <c r="C1" s="14"/>
      <c r="D1" s="14"/>
      <c r="E1" s="14"/>
      <c r="F1" s="14"/>
      <c r="G1" s="14"/>
      <c r="H1" s="14"/>
    </row>
    <row r="2" customFormat="false" ht="31.5" hidden="false" customHeight="true" outlineLevel="0" collapsed="false">
      <c r="A2" s="15" t="s">
        <v>3</v>
      </c>
      <c r="B2" s="15" t="s">
        <v>49</v>
      </c>
      <c r="C2" s="15" t="s">
        <v>50</v>
      </c>
      <c r="D2" s="15" t="s">
        <v>51</v>
      </c>
      <c r="E2" s="15" t="s">
        <v>52</v>
      </c>
      <c r="F2" s="15" t="s">
        <v>53</v>
      </c>
      <c r="G2" s="15" t="s">
        <v>54</v>
      </c>
      <c r="H2" s="15" t="s">
        <v>55</v>
      </c>
    </row>
    <row r="3" customFormat="false" ht="18" hidden="false" customHeight="true" outlineLevel="0" collapsed="false">
      <c r="A3" s="10" t="s">
        <v>41</v>
      </c>
      <c r="B3" s="11" t="n">
        <v>1</v>
      </c>
      <c r="C3" s="11" t="n">
        <v>27.6</v>
      </c>
      <c r="D3" s="11" t="n">
        <v>38</v>
      </c>
      <c r="E3" s="12" t="n">
        <v>0.0543478260869565</v>
      </c>
      <c r="F3" s="12" t="n">
        <v>0.177536231884058</v>
      </c>
      <c r="G3" s="13" t="n">
        <v>1.71428571428571</v>
      </c>
      <c r="H3" s="13" t="n">
        <v>9.46938775510204</v>
      </c>
    </row>
    <row r="4" customFormat="false" ht="18" hidden="false" customHeight="true" outlineLevel="0" collapsed="false">
      <c r="A4" s="16" t="s">
        <v>29</v>
      </c>
      <c r="B4" s="17" t="n">
        <v>1</v>
      </c>
      <c r="C4" s="17" t="n">
        <v>102</v>
      </c>
      <c r="D4" s="17" t="n">
        <v>65</v>
      </c>
      <c r="E4" s="18" t="n">
        <v>0.0705882352941177</v>
      </c>
      <c r="F4" s="18" t="n">
        <v>0.12156862745098</v>
      </c>
      <c r="G4" s="19" t="n">
        <v>1.45161290322581</v>
      </c>
      <c r="H4" s="19" t="n">
        <v>6.69354838709677</v>
      </c>
    </row>
    <row r="5" customFormat="false" ht="18" hidden="false" customHeight="true" outlineLevel="0" collapsed="false">
      <c r="A5" s="10" t="s">
        <v>35</v>
      </c>
      <c r="B5" s="11" t="n">
        <v>2</v>
      </c>
      <c r="C5" s="11" t="n">
        <v>121</v>
      </c>
      <c r="D5" s="11" t="n">
        <v>25</v>
      </c>
      <c r="E5" s="12" t="n">
        <v>0.0367222904791637</v>
      </c>
      <c r="F5" s="12" t="n">
        <v>0.0885455900420955</v>
      </c>
      <c r="G5" s="13" t="n">
        <v>2.30401234567901</v>
      </c>
      <c r="H5" s="13" t="n">
        <v>4.72685185185185</v>
      </c>
    </row>
    <row r="6" customFormat="false" ht="18" hidden="false" customHeight="true" outlineLevel="0" collapsed="false">
      <c r="A6" s="16" t="s">
        <v>27</v>
      </c>
      <c r="B6" s="17" t="n">
        <v>2</v>
      </c>
      <c r="C6" s="17" t="n">
        <v>35.9</v>
      </c>
      <c r="D6" s="17" t="n">
        <v>43</v>
      </c>
      <c r="E6" s="18" t="n">
        <v>0.148395132863341</v>
      </c>
      <c r="F6" s="18" t="n">
        <v>0.262735561279826</v>
      </c>
      <c r="G6" s="19" t="n">
        <v>4.04086845466156</v>
      </c>
      <c r="H6" s="19" t="n">
        <v>8.05236270753512</v>
      </c>
    </row>
    <row r="7" customFormat="false" ht="18" hidden="false" customHeight="true" outlineLevel="0" collapsed="false">
      <c r="A7" s="10" t="s">
        <v>25</v>
      </c>
      <c r="B7" s="11" t="n">
        <v>1</v>
      </c>
      <c r="C7" s="11" t="n">
        <v>41.2</v>
      </c>
      <c r="D7" s="11" t="n">
        <v>195</v>
      </c>
      <c r="E7" s="12" t="n">
        <v>0.150485436893204</v>
      </c>
      <c r="F7" s="12" t="n">
        <v>0.262135922330097</v>
      </c>
      <c r="G7" s="13" t="n">
        <v>0.490740740740741</v>
      </c>
      <c r="H7" s="13" t="n">
        <v>18.5462962962963</v>
      </c>
    </row>
    <row r="8" customFormat="false" ht="18" hidden="false" customHeight="true" outlineLevel="0" collapsed="false">
      <c r="A8" s="16" t="s">
        <v>22</v>
      </c>
      <c r="B8" s="17" t="n">
        <v>4</v>
      </c>
      <c r="C8" s="17" t="n">
        <v>44.4</v>
      </c>
      <c r="D8" s="17" t="n">
        <v>62.2</v>
      </c>
      <c r="E8" s="18" t="n">
        <v>0.0695745408229935</v>
      </c>
      <c r="F8" s="18" t="n">
        <v>0.196581254679553</v>
      </c>
      <c r="G8" s="19" t="n">
        <v>1.17791113445158</v>
      </c>
      <c r="H8" s="19" t="n">
        <v>7.89241963413884</v>
      </c>
    </row>
    <row r="9" customFormat="false" ht="18" hidden="false" customHeight="true" outlineLevel="0" collapsed="false">
      <c r="A9" s="10" t="s">
        <v>17</v>
      </c>
      <c r="B9" s="11" t="n">
        <v>3</v>
      </c>
      <c r="C9" s="11" t="n">
        <v>39.1</v>
      </c>
      <c r="D9" s="11" t="n">
        <v>188.7</v>
      </c>
      <c r="E9" s="12" t="n">
        <v>0.158426715295071</v>
      </c>
      <c r="F9" s="12" t="n">
        <v>0.307015990496788</v>
      </c>
      <c r="G9" s="13" t="n">
        <v>0.784356725146199</v>
      </c>
      <c r="H9" s="13" t="n">
        <v>20.8198621553885</v>
      </c>
    </row>
    <row r="10" customFormat="false" ht="18" hidden="false" customHeight="true" outlineLevel="0" collapsed="false">
      <c r="A10" s="16" t="s">
        <v>43</v>
      </c>
      <c r="B10" s="17" t="n">
        <v>1</v>
      </c>
      <c r="C10" s="17" t="n">
        <v>29.1</v>
      </c>
      <c r="D10" s="17" t="n">
        <v>8</v>
      </c>
      <c r="E10" s="18" t="n">
        <v>0.0274914089347079</v>
      </c>
      <c r="F10" s="18" t="n">
        <v>0.109965635738832</v>
      </c>
      <c r="G10" s="19" t="n">
        <v>1.9375</v>
      </c>
      <c r="H10" s="19" t="n">
        <v>4.4375</v>
      </c>
    </row>
    <row r="11" customFormat="false" ht="18" hidden="false" customHeight="true" outlineLevel="0" collapsed="false">
      <c r="A11" s="10" t="s">
        <v>31</v>
      </c>
      <c r="B11" s="11" t="n">
        <v>1</v>
      </c>
      <c r="C11" s="11" t="n">
        <v>41.9</v>
      </c>
      <c r="D11" s="11" t="n">
        <v>108</v>
      </c>
      <c r="E11" s="12" t="n">
        <v>0.128878281622912</v>
      </c>
      <c r="F11" s="12" t="n">
        <v>0.315035799522673</v>
      </c>
      <c r="G11" s="13" t="n">
        <v>0.742424242424243</v>
      </c>
      <c r="H11" s="13" t="n">
        <v>8.92424242424242</v>
      </c>
    </row>
    <row r="12" customFormat="false" ht="18" hidden="false" customHeight="true" outlineLevel="0" collapsed="false">
      <c r="A12" s="16" t="s">
        <v>38</v>
      </c>
      <c r="B12" s="17" t="n">
        <v>1</v>
      </c>
      <c r="C12" s="17" t="n">
        <v>22.5</v>
      </c>
      <c r="D12" s="17" t="n">
        <v>28</v>
      </c>
      <c r="E12" s="18" t="n">
        <v>0.0711111111111111</v>
      </c>
      <c r="F12" s="18" t="n">
        <v>0.168888888888889</v>
      </c>
      <c r="G12" s="19" t="n">
        <v>0.631578947368421</v>
      </c>
      <c r="H12" s="19" t="n">
        <v>8</v>
      </c>
    </row>
    <row r="13" customFormat="false" ht="18" hidden="false" customHeight="true" outlineLevel="0" collapsed="false">
      <c r="A13" s="10" t="s">
        <v>47</v>
      </c>
      <c r="B13" s="11" t="n">
        <v>1</v>
      </c>
      <c r="C13" s="11" t="n">
        <v>44.1</v>
      </c>
      <c r="D13" s="11" t="n">
        <v>28</v>
      </c>
      <c r="E13" s="12" t="n">
        <v>0.0408163265306122</v>
      </c>
      <c r="F13" s="12" t="n">
        <v>0.222222222222222</v>
      </c>
      <c r="G13" s="13" t="n">
        <v>2.69387755102041</v>
      </c>
      <c r="H13" s="13" t="n">
        <v>5.55102040816326</v>
      </c>
    </row>
    <row r="14" customFormat="false" ht="18" hidden="false" customHeight="true" outlineLevel="0" collapsed="false">
      <c r="A14" s="16" t="s">
        <v>19</v>
      </c>
      <c r="B14" s="17" t="n">
        <v>2</v>
      </c>
      <c r="C14" s="17" t="n">
        <v>150.8</v>
      </c>
      <c r="D14" s="17" t="n">
        <v>93.5</v>
      </c>
      <c r="E14" s="18" t="n">
        <v>0.0567165565887992</v>
      </c>
      <c r="F14" s="18" t="n">
        <v>0.176089007662128</v>
      </c>
      <c r="G14" s="19" t="n">
        <v>1.30764840182648</v>
      </c>
      <c r="H14" s="19" t="n">
        <v>4.63402539954338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20"/>
  </cols>
  <sheetData>
    <row r="1" customFormat="false" ht="25.5" hidden="false" customHeight="true" outlineLevel="0" collapsed="false">
      <c r="A1" s="14" t="s">
        <v>56</v>
      </c>
      <c r="B1" s="14"/>
      <c r="C1" s="14"/>
      <c r="D1" s="14"/>
    </row>
    <row r="2" customFormat="false" ht="19.5" hidden="false" customHeight="true" outlineLevel="0" collapsed="false">
      <c r="A2" s="20" t="s">
        <v>57</v>
      </c>
      <c r="B2" s="20" t="s">
        <v>58</v>
      </c>
      <c r="C2" s="20" t="s">
        <v>59</v>
      </c>
      <c r="D2" s="20" t="s">
        <v>60</v>
      </c>
    </row>
    <row r="3" customFormat="false" ht="21.75" hidden="false" customHeight="true" outlineLevel="0" collapsed="false">
      <c r="A3" s="21" t="s">
        <v>61</v>
      </c>
      <c r="B3" s="10" t="s">
        <v>62</v>
      </c>
      <c r="C3" s="10" t="s">
        <v>63</v>
      </c>
      <c r="D3" s="10" t="s">
        <v>64</v>
      </c>
    </row>
    <row r="4" customFormat="false" ht="21.75" hidden="false" customHeight="true" outlineLevel="0" collapsed="false">
      <c r="A4" s="22" t="s">
        <v>65</v>
      </c>
      <c r="B4" s="5" t="s">
        <v>66</v>
      </c>
      <c r="C4" s="5" t="s">
        <v>67</v>
      </c>
      <c r="D4" s="5" t="s">
        <v>68</v>
      </c>
    </row>
    <row r="5" customFormat="false" ht="21.75" hidden="false" customHeight="true" outlineLevel="0" collapsed="false">
      <c r="A5" s="21" t="s">
        <v>69</v>
      </c>
      <c r="B5" s="10" t="s">
        <v>70</v>
      </c>
      <c r="C5" s="10" t="s">
        <v>71</v>
      </c>
      <c r="D5" s="10" t="s">
        <v>72</v>
      </c>
    </row>
    <row r="6" customFormat="false" ht="21.75" hidden="false" customHeight="true" outlineLevel="0" collapsed="false">
      <c r="A6" s="22" t="s">
        <v>73</v>
      </c>
      <c r="B6" s="5" t="s">
        <v>74</v>
      </c>
      <c r="C6" s="5" t="s">
        <v>75</v>
      </c>
      <c r="D6" s="5" t="s">
        <v>76</v>
      </c>
    </row>
    <row r="7" customFormat="false" ht="21.75" hidden="false" customHeight="true" outlineLevel="0" collapsed="false">
      <c r="A7" s="21" t="s">
        <v>77</v>
      </c>
      <c r="B7" s="10" t="s">
        <v>78</v>
      </c>
      <c r="C7" s="10" t="s">
        <v>79</v>
      </c>
      <c r="D7" s="10" t="s">
        <v>80</v>
      </c>
    </row>
    <row r="8" customFormat="false" ht="21.75" hidden="false" customHeight="true" outlineLevel="0" collapsed="false">
      <c r="A8" s="22" t="s">
        <v>15</v>
      </c>
      <c r="B8" s="5" t="s">
        <v>81</v>
      </c>
      <c r="C8" s="5" t="s">
        <v>82</v>
      </c>
      <c r="D8" s="5" t="s">
        <v>83</v>
      </c>
    </row>
    <row r="10" customFormat="false" ht="15" hidden="false" customHeight="false" outlineLevel="0" collapsed="false">
      <c r="A10" s="23" t="s">
        <v>84</v>
      </c>
      <c r="B10" s="23"/>
      <c r="C10" s="23"/>
      <c r="D10" s="23"/>
    </row>
  </sheetData>
  <mergeCells count="2">
    <mergeCell ref="A1:D1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2026-04-01T23:06:19Z</dcterms:created>
  <dc:creator>openpyxl</dc:creator>
  <dc:description/>
  <dc:language>en-US</dc:language>
  <cp:lastModifiedBy/>
  <dcterms:modified xsi:type="dcterms:W3CDTF">2026-04-01T23:06:19Z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